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97babe4993fe8/Documents/SQL/"/>
    </mc:Choice>
  </mc:AlternateContent>
  <xr:revisionPtr revIDLastSave="0" documentId="8_{4FDB034D-F769-4FFC-80BD-AA7B3BF5611F}" xr6:coauthVersionLast="47" xr6:coauthVersionMax="47" xr10:uidLastSave="{00000000-0000-0000-0000-000000000000}"/>
  <bookViews>
    <workbookView xWindow="-108" yWindow="-108" windowWidth="23256" windowHeight="12456" xr2:uid="{C030028B-47D6-42EC-A61C-CE178D704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B74" i="1"/>
  <c r="B70" i="1"/>
  <c r="B66" i="1"/>
  <c r="B62" i="1"/>
  <c r="B58" i="1"/>
  <c r="B54" i="1"/>
  <c r="B50" i="1"/>
  <c r="B46" i="1"/>
  <c r="B42" i="1"/>
  <c r="B38" i="1"/>
  <c r="B34" i="1"/>
  <c r="B26" i="1"/>
</calcChain>
</file>

<file path=xl/sharedStrings.xml><?xml version="1.0" encoding="utf-8"?>
<sst xmlns="http://schemas.openxmlformats.org/spreadsheetml/2006/main" count="60" uniqueCount="44">
  <si>
    <t>ID</t>
  </si>
  <si>
    <t>Name</t>
  </si>
  <si>
    <t>Department</t>
  </si>
  <si>
    <t>Salary</t>
  </si>
  <si>
    <t>Bonus</t>
  </si>
  <si>
    <t>Age</t>
  </si>
  <si>
    <t>Joining Date</t>
  </si>
  <si>
    <t>John Smith</t>
  </si>
  <si>
    <t>Sales</t>
  </si>
  <si>
    <t>Emily Davis</t>
  </si>
  <si>
    <t>HR</t>
  </si>
  <si>
    <t>Michael Lee</t>
  </si>
  <si>
    <t>IT</t>
  </si>
  <si>
    <t>Sarah Kim</t>
  </si>
  <si>
    <t>Marketing</t>
  </si>
  <si>
    <t>David Chen</t>
  </si>
  <si>
    <t>Laura White</t>
  </si>
  <si>
    <t>Kevin Brown</t>
  </si>
  <si>
    <t>Anna Scott</t>
  </si>
  <si>
    <t>Ryan Hall</t>
  </si>
  <si>
    <t>Sophia King</t>
  </si>
  <si>
    <t>Paul Allen</t>
  </si>
  <si>
    <t>Mia Carter</t>
  </si>
  <si>
    <t>Jack Wilson</t>
  </si>
  <si>
    <t>Olivia Adams</t>
  </si>
  <si>
    <t>Ethan Clark</t>
  </si>
  <si>
    <t>Grace Lewis</t>
  </si>
  <si>
    <t>Henry Young</t>
  </si>
  <si>
    <t>Lily Moore</t>
  </si>
  <si>
    <t>Chris Evans</t>
  </si>
  <si>
    <t>Ava Turner</t>
  </si>
  <si>
    <t>COUNT EMPLOYEES IN DATA SET</t>
  </si>
  <si>
    <t>NUMBER OF EMPLOYEES &gt;35 YEARS</t>
  </si>
  <si>
    <t>HIGHEST SALARY OF EMPLOYEES</t>
  </si>
  <si>
    <t>MAXIMUM BONUS IN IT DEPARTMENT</t>
  </si>
  <si>
    <t>LOWEST SALARY IN HR DEPARTMENT</t>
  </si>
  <si>
    <t>YOUNGEST EMPLOYEES AGE</t>
  </si>
  <si>
    <t>TOTAL SALARY PAID TO ALL EMPLOYEES</t>
  </si>
  <si>
    <t>TOTAL BONUS IN MARKETING DEPARTMENT</t>
  </si>
  <si>
    <t>AVERAGE OF ALL EMPLOYEES</t>
  </si>
  <si>
    <t>AVERAGE  AGE OF EMPLOYEES IN IT DEPARTMENT</t>
  </si>
  <si>
    <t>MEDIAN SALARY FOR COMPANY</t>
  </si>
  <si>
    <t>MEDIAN BONUS FOR EMPLOYEES</t>
  </si>
  <si>
    <t>COUNT NUM OF EMPLOYEES IN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</si>
</sst>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10F9-951C-48AC-9096-F42495C27D64}">
  <dimension ref="A1:G74"/>
  <sheetViews>
    <sheetView tabSelected="1" topLeftCell="A64" workbookViewId="0">
      <selection activeCell="B32" sqref="B32"/>
    </sheetView>
  </sheetViews>
  <sheetFormatPr defaultRowHeight="14.4" x14ac:dyDescent="0.3"/>
  <cols>
    <col min="1" max="1" width="15.44140625" customWidth="1"/>
    <col min="2" max="2" width="23.44140625" customWidth="1"/>
    <col min="3" max="3" width="20.88671875" customWidth="1"/>
    <col min="4" max="4" width="20.33203125" customWidth="1"/>
    <col min="7" max="7" width="19.21875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1">
        <v>1</v>
      </c>
      <c r="B2" s="1" t="s">
        <v>7</v>
      </c>
      <c r="C2" s="1" t="s">
        <v>8</v>
      </c>
      <c r="D2" s="1">
        <v>45000</v>
      </c>
      <c r="E2" s="1">
        <v>2000</v>
      </c>
      <c r="F2" s="1">
        <v>29</v>
      </c>
      <c r="G2" s="3">
        <v>43876</v>
      </c>
    </row>
    <row r="3" spans="1:7" ht="15.6" x14ac:dyDescent="0.3">
      <c r="A3" s="1">
        <v>2</v>
      </c>
      <c r="B3" s="1" t="s">
        <v>9</v>
      </c>
      <c r="C3" s="1" t="s">
        <v>10</v>
      </c>
      <c r="D3" s="1">
        <v>52000</v>
      </c>
      <c r="E3" s="1">
        <v>2500</v>
      </c>
      <c r="F3" s="1">
        <v>34</v>
      </c>
      <c r="G3" s="3">
        <v>43617</v>
      </c>
    </row>
    <row r="4" spans="1:7" ht="15.6" x14ac:dyDescent="0.3">
      <c r="A4" s="1">
        <v>3</v>
      </c>
      <c r="B4" s="1" t="s">
        <v>11</v>
      </c>
      <c r="C4" s="1" t="s">
        <v>12</v>
      </c>
      <c r="D4" s="1">
        <v>61000</v>
      </c>
      <c r="E4" s="1">
        <v>3000</v>
      </c>
      <c r="F4" s="1">
        <v>41</v>
      </c>
      <c r="G4" s="3">
        <v>43355</v>
      </c>
    </row>
    <row r="5" spans="1:7" ht="15.6" x14ac:dyDescent="0.3">
      <c r="A5" s="1">
        <v>4</v>
      </c>
      <c r="B5" s="1" t="s">
        <v>13</v>
      </c>
      <c r="C5" s="1" t="s">
        <v>14</v>
      </c>
      <c r="D5" s="1">
        <v>48000</v>
      </c>
      <c r="E5" s="1">
        <v>1800</v>
      </c>
      <c r="F5" s="1">
        <v>26</v>
      </c>
      <c r="G5" s="3">
        <v>44204</v>
      </c>
    </row>
    <row r="6" spans="1:7" ht="15.6" x14ac:dyDescent="0.3">
      <c r="A6" s="1">
        <v>5</v>
      </c>
      <c r="B6" s="1" t="s">
        <v>15</v>
      </c>
      <c r="C6" s="1" t="s">
        <v>8</v>
      </c>
      <c r="D6" s="1">
        <v>47000</v>
      </c>
      <c r="E6" s="1">
        <v>2100</v>
      </c>
      <c r="F6" s="1">
        <v>31</v>
      </c>
      <c r="G6" s="3">
        <v>43792</v>
      </c>
    </row>
    <row r="7" spans="1:7" ht="15.6" x14ac:dyDescent="0.3">
      <c r="A7" s="1">
        <v>6</v>
      </c>
      <c r="B7" s="1" t="s">
        <v>16</v>
      </c>
      <c r="C7" s="1" t="s">
        <v>10</v>
      </c>
      <c r="D7" s="1">
        <v>53000</v>
      </c>
      <c r="E7" s="1">
        <v>2700</v>
      </c>
      <c r="F7" s="1">
        <v>38</v>
      </c>
      <c r="G7" s="3">
        <v>42872</v>
      </c>
    </row>
    <row r="8" spans="1:7" ht="15.6" x14ac:dyDescent="0.3">
      <c r="A8" s="1">
        <v>7</v>
      </c>
      <c r="B8" s="1" t="s">
        <v>17</v>
      </c>
      <c r="C8" s="1" t="s">
        <v>12</v>
      </c>
      <c r="D8" s="1">
        <v>65000</v>
      </c>
      <c r="E8" s="1">
        <v>3500</v>
      </c>
      <c r="F8" s="1">
        <v>44</v>
      </c>
      <c r="G8" s="3">
        <v>42194</v>
      </c>
    </row>
    <row r="9" spans="1:7" ht="15.6" x14ac:dyDescent="0.3">
      <c r="A9" s="1">
        <v>8</v>
      </c>
      <c r="B9" s="1" t="s">
        <v>18</v>
      </c>
      <c r="C9" s="1" t="s">
        <v>14</v>
      </c>
      <c r="D9" s="1">
        <v>50000</v>
      </c>
      <c r="E9" s="1">
        <v>1900</v>
      </c>
      <c r="F9" s="1">
        <v>28</v>
      </c>
      <c r="G9" s="3">
        <v>44063</v>
      </c>
    </row>
    <row r="10" spans="1:7" ht="15.6" x14ac:dyDescent="0.3">
      <c r="A10" s="1">
        <v>9</v>
      </c>
      <c r="B10" s="1" t="s">
        <v>19</v>
      </c>
      <c r="C10" s="1" t="s">
        <v>8</v>
      </c>
      <c r="D10" s="1">
        <v>46000</v>
      </c>
      <c r="E10" s="1">
        <v>2050</v>
      </c>
      <c r="F10" s="1">
        <v>33</v>
      </c>
      <c r="G10" s="3">
        <v>43538</v>
      </c>
    </row>
    <row r="11" spans="1:7" ht="15.6" x14ac:dyDescent="0.3">
      <c r="A11" s="1">
        <v>10</v>
      </c>
      <c r="B11" s="1" t="s">
        <v>20</v>
      </c>
      <c r="C11" s="1" t="s">
        <v>10</v>
      </c>
      <c r="D11" s="1">
        <v>54000</v>
      </c>
      <c r="E11" s="1">
        <v>2600</v>
      </c>
      <c r="F11" s="1">
        <v>36</v>
      </c>
      <c r="G11" s="3">
        <v>42672</v>
      </c>
    </row>
    <row r="12" spans="1:7" ht="15.6" x14ac:dyDescent="0.3">
      <c r="A12" s="1">
        <v>11</v>
      </c>
      <c r="B12" s="1" t="s">
        <v>21</v>
      </c>
      <c r="C12" s="1" t="s">
        <v>12</v>
      </c>
      <c r="D12" s="1">
        <v>62000</v>
      </c>
      <c r="E12" s="1">
        <v>3100</v>
      </c>
      <c r="F12" s="1">
        <v>42</v>
      </c>
      <c r="G12" s="3">
        <v>43453</v>
      </c>
    </row>
    <row r="13" spans="1:7" ht="15.6" x14ac:dyDescent="0.3">
      <c r="A13" s="1">
        <v>12</v>
      </c>
      <c r="B13" s="1" t="s">
        <v>22</v>
      </c>
      <c r="C13" s="1" t="s">
        <v>14</v>
      </c>
      <c r="D13" s="1">
        <v>51000</v>
      </c>
      <c r="E13" s="1">
        <v>2000</v>
      </c>
      <c r="F13" s="1">
        <v>27</v>
      </c>
      <c r="G13" s="3">
        <v>44352</v>
      </c>
    </row>
    <row r="14" spans="1:7" ht="15.6" x14ac:dyDescent="0.3">
      <c r="A14" s="1">
        <v>13</v>
      </c>
      <c r="B14" s="1" t="s">
        <v>23</v>
      </c>
      <c r="C14" s="1" t="s">
        <v>8</v>
      </c>
      <c r="D14" s="1">
        <v>48000</v>
      </c>
      <c r="E14" s="1">
        <v>2200</v>
      </c>
      <c r="F14" s="1">
        <v>30</v>
      </c>
      <c r="G14" s="3">
        <v>43130</v>
      </c>
    </row>
    <row r="15" spans="1:7" ht="15.6" x14ac:dyDescent="0.3">
      <c r="A15" s="1">
        <v>14</v>
      </c>
      <c r="B15" s="1" t="s">
        <v>24</v>
      </c>
      <c r="C15" s="1" t="s">
        <v>10</v>
      </c>
      <c r="D15" s="1">
        <v>55000</v>
      </c>
      <c r="E15" s="1">
        <v>2800</v>
      </c>
      <c r="F15" s="1">
        <v>39</v>
      </c>
      <c r="G15" s="3">
        <v>42263</v>
      </c>
    </row>
    <row r="16" spans="1:7" ht="15.6" x14ac:dyDescent="0.3">
      <c r="A16" s="1">
        <v>15</v>
      </c>
      <c r="B16" s="1" t="s">
        <v>25</v>
      </c>
      <c r="C16" s="1" t="s">
        <v>12</v>
      </c>
      <c r="D16" s="1">
        <v>64000</v>
      </c>
      <c r="E16" s="1">
        <v>3300</v>
      </c>
      <c r="F16" s="1">
        <v>45</v>
      </c>
      <c r="G16" s="3">
        <v>41946</v>
      </c>
    </row>
    <row r="17" spans="1:7" ht="15.6" x14ac:dyDescent="0.3">
      <c r="A17" s="1">
        <v>16</v>
      </c>
      <c r="B17" s="1" t="s">
        <v>26</v>
      </c>
      <c r="C17" s="1" t="s">
        <v>14</v>
      </c>
      <c r="D17" s="1">
        <v>52000</v>
      </c>
      <c r="E17" s="1">
        <v>2100</v>
      </c>
      <c r="F17" s="1">
        <v>29</v>
      </c>
      <c r="G17" s="3">
        <v>43939</v>
      </c>
    </row>
    <row r="18" spans="1:7" ht="15.6" x14ac:dyDescent="0.3">
      <c r="A18" s="1">
        <v>17</v>
      </c>
      <c r="B18" s="1" t="s">
        <v>27</v>
      </c>
      <c r="C18" s="1" t="s">
        <v>8</v>
      </c>
      <c r="D18" s="1">
        <v>47000</v>
      </c>
      <c r="E18" s="1">
        <v>2000</v>
      </c>
      <c r="F18" s="1">
        <v>32</v>
      </c>
      <c r="G18" s="3">
        <v>43800</v>
      </c>
    </row>
    <row r="19" spans="1:7" ht="15.6" x14ac:dyDescent="0.3">
      <c r="A19" s="1">
        <v>18</v>
      </c>
      <c r="B19" s="1" t="s">
        <v>28</v>
      </c>
      <c r="C19" s="1" t="s">
        <v>10</v>
      </c>
      <c r="D19" s="1">
        <v>56000</v>
      </c>
      <c r="E19" s="1">
        <v>2500</v>
      </c>
      <c r="F19" s="1">
        <v>35</v>
      </c>
      <c r="G19" s="3">
        <v>42548</v>
      </c>
    </row>
    <row r="20" spans="1:7" ht="15.6" x14ac:dyDescent="0.3">
      <c r="A20" s="1">
        <v>19</v>
      </c>
      <c r="B20" s="1" t="s">
        <v>29</v>
      </c>
      <c r="C20" s="1" t="s">
        <v>12</v>
      </c>
      <c r="D20" s="1">
        <v>63000</v>
      </c>
      <c r="E20" s="1">
        <v>3400</v>
      </c>
      <c r="F20" s="1">
        <v>43</v>
      </c>
      <c r="G20" s="3">
        <v>42774</v>
      </c>
    </row>
    <row r="21" spans="1:7" ht="15.6" x14ac:dyDescent="0.3">
      <c r="A21" s="1">
        <v>20</v>
      </c>
      <c r="B21" s="1" t="s">
        <v>30</v>
      </c>
      <c r="C21" s="1" t="s">
        <v>14</v>
      </c>
      <c r="D21" s="1">
        <v>49500</v>
      </c>
      <c r="E21" s="1">
        <v>1950</v>
      </c>
      <c r="F21" s="1">
        <v>28</v>
      </c>
      <c r="G21" s="3">
        <v>44453</v>
      </c>
    </row>
    <row r="24" spans="1:7" ht="31.2" x14ac:dyDescent="0.3">
      <c r="B24" s="4" t="s">
        <v>31</v>
      </c>
    </row>
    <row r="26" spans="1:7" x14ac:dyDescent="0.3">
      <c r="B26">
        <f>COUNTA(B2:B21)</f>
        <v>20</v>
      </c>
    </row>
    <row r="28" spans="1:7" ht="28.8" x14ac:dyDescent="0.3">
      <c r="B28" s="5" t="s">
        <v>43</v>
      </c>
    </row>
    <row r="30" spans="1:7" x14ac:dyDescent="0.3">
      <c r="B30">
        <f>COUNTIF(C2:C21,"SALES")</f>
        <v>5</v>
      </c>
    </row>
    <row r="32" spans="1:7" ht="28.8" x14ac:dyDescent="0.3">
      <c r="B32" s="5" t="s">
        <v>32</v>
      </c>
    </row>
    <row r="34" spans="2:2" x14ac:dyDescent="0.3">
      <c r="B34">
        <f>COUNTIF(F2:F21,"&gt;35")</f>
        <v>8</v>
      </c>
    </row>
    <row r="36" spans="2:2" ht="28.8" x14ac:dyDescent="0.3">
      <c r="B36" s="5" t="s">
        <v>33</v>
      </c>
    </row>
    <row r="38" spans="2:2" x14ac:dyDescent="0.3">
      <c r="B38">
        <f>MAX(D2:D21)</f>
        <v>65000</v>
      </c>
    </row>
    <row r="40" spans="2:2" ht="28.8" x14ac:dyDescent="0.3">
      <c r="B40" s="5" t="s">
        <v>34</v>
      </c>
    </row>
    <row r="42" spans="2:2" x14ac:dyDescent="0.3">
      <c r="B42">
        <f>_xlfn.MAXIFS(E2:E21,C2:C21,"IT")</f>
        <v>3500</v>
      </c>
    </row>
    <row r="44" spans="2:2" ht="28.8" x14ac:dyDescent="0.3">
      <c r="B44" s="5" t="s">
        <v>35</v>
      </c>
    </row>
    <row r="46" spans="2:2" x14ac:dyDescent="0.3">
      <c r="B46">
        <f>_xlfn.MINIFS(D2:D21,C2:C21,"HR")</f>
        <v>52000</v>
      </c>
    </row>
    <row r="48" spans="2:2" ht="28.8" x14ac:dyDescent="0.3">
      <c r="B48" s="5" t="s">
        <v>36</v>
      </c>
    </row>
    <row r="50" spans="2:2" x14ac:dyDescent="0.3">
      <c r="B50">
        <f>MIN(F2:F21)</f>
        <v>26</v>
      </c>
    </row>
    <row r="52" spans="2:2" ht="28.8" x14ac:dyDescent="0.3">
      <c r="B52" s="5" t="s">
        <v>37</v>
      </c>
    </row>
    <row r="54" spans="2:2" x14ac:dyDescent="0.3">
      <c r="B54">
        <f>SUM(D2:D21)</f>
        <v>1068500</v>
      </c>
    </row>
    <row r="56" spans="2:2" ht="28.8" x14ac:dyDescent="0.3">
      <c r="B56" s="5" t="s">
        <v>38</v>
      </c>
    </row>
    <row r="58" spans="2:2" x14ac:dyDescent="0.3">
      <c r="B58">
        <f>SUMIFS(E2:E21,C2:C21,"Marketing")</f>
        <v>9750</v>
      </c>
    </row>
    <row r="60" spans="2:2" ht="28.8" x14ac:dyDescent="0.3">
      <c r="B60" s="5" t="s">
        <v>39</v>
      </c>
    </row>
    <row r="62" spans="2:2" x14ac:dyDescent="0.3">
      <c r="B62">
        <f>AVERAGE(D2:D21)</f>
        <v>53425</v>
      </c>
    </row>
    <row r="64" spans="2:2" ht="43.2" x14ac:dyDescent="0.3">
      <c r="B64" s="5" t="s">
        <v>40</v>
      </c>
    </row>
    <row r="66" spans="2:2" x14ac:dyDescent="0.3">
      <c r="B66">
        <f>AVERAGEIFS(F2:F21,C2:C21,"IT")</f>
        <v>43</v>
      </c>
    </row>
    <row r="68" spans="2:2" ht="28.8" x14ac:dyDescent="0.3">
      <c r="B68" s="5" t="s">
        <v>41</v>
      </c>
    </row>
    <row r="70" spans="2:2" x14ac:dyDescent="0.3">
      <c r="B70">
        <f>MEDIAN(D2:D21)</f>
        <v>52000</v>
      </c>
    </row>
    <row r="72" spans="2:2" ht="28.8" x14ac:dyDescent="0.3">
      <c r="B72" s="5" t="s">
        <v>42</v>
      </c>
    </row>
    <row r="74" spans="2:2" x14ac:dyDescent="0.3">
      <c r="B74">
        <f>MEDIAN(E2:E21)</f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 VENKATA GOPI</dc:creator>
  <cp:lastModifiedBy>MANASA DURGA VASIREDDY</cp:lastModifiedBy>
  <dcterms:created xsi:type="dcterms:W3CDTF">2025-08-12T04:48:39Z</dcterms:created>
  <dcterms:modified xsi:type="dcterms:W3CDTF">2026-02-27T06:45:14Z</dcterms:modified>
</cp:coreProperties>
</file>