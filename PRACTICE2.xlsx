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97babe4993fe8/Documents/SQL/"/>
    </mc:Choice>
  </mc:AlternateContent>
  <xr:revisionPtr revIDLastSave="0" documentId="8_{DC6DFF40-54C6-480D-8BB8-414997494CAF}" xr6:coauthVersionLast="47" xr6:coauthVersionMax="47" xr10:uidLastSave="{00000000-0000-0000-0000-000000000000}"/>
  <bookViews>
    <workbookView xWindow="-108" yWindow="-108" windowWidth="23256" windowHeight="12456" xr2:uid="{E9F929AE-A76F-476E-B7FD-689A57372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1" i="1" l="1"/>
  <c r="E67" i="1"/>
  <c r="E63" i="1"/>
  <c r="E59" i="1"/>
  <c r="E55" i="1"/>
  <c r="E51" i="1"/>
  <c r="E47" i="1"/>
  <c r="E43" i="1"/>
  <c r="E39" i="1"/>
  <c r="E35" i="1"/>
  <c r="B71" i="1"/>
  <c r="B67" i="1"/>
  <c r="B63" i="1"/>
  <c r="B59" i="1"/>
  <c r="B35" i="1"/>
  <c r="B55" i="1"/>
  <c r="B51" i="1"/>
  <c r="B47" i="1"/>
  <c r="B43" i="1"/>
  <c r="B39" i="1"/>
</calcChain>
</file>

<file path=xl/sharedStrings.xml><?xml version="1.0" encoding="utf-8"?>
<sst xmlns="http://schemas.openxmlformats.org/spreadsheetml/2006/main" count="136" uniqueCount="58">
  <si>
    <t>OrderID</t>
  </si>
  <si>
    <t>Region</t>
  </si>
  <si>
    <t>Salesperson</t>
  </si>
  <si>
    <t>Product</t>
  </si>
  <si>
    <t>Units</t>
  </si>
  <si>
    <t>Unit Price</t>
  </si>
  <si>
    <t>Total Sales</t>
  </si>
  <si>
    <t>Order Date</t>
  </si>
  <si>
    <t>East</t>
  </si>
  <si>
    <t>Alice</t>
  </si>
  <si>
    <t>Laptop</t>
  </si>
  <si>
    <t>West</t>
  </si>
  <si>
    <t>Bob</t>
  </si>
  <si>
    <t>Monitor</t>
  </si>
  <si>
    <t>Charlie</t>
  </si>
  <si>
    <t>Mouse</t>
  </si>
  <si>
    <t>North</t>
  </si>
  <si>
    <t>Diana</t>
  </si>
  <si>
    <t>South</t>
  </si>
  <si>
    <t>Keyboard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</si>
  <si>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</si>
  <si>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</si>
  <si>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</si>
  <si>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</si>
  <si>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</si>
  <si>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</si>
  <si>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</si>
  <si>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</si>
  <si>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</si>
  <si>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</si>
  <si>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</si>
  <si>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</si>
  <si>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</si>
  <si>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</si>
  <si>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</si>
  <si>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</si>
  <si>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</si>
  <si>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</si>
  <si>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TOTAL SALES FOR THE REGION EAST</t>
  </si>
  <si>
    <t>TOTAL SALES FOR SALESPERSON ALICE</t>
  </si>
  <si>
    <t>COUNT ORDERS FOR PRODUCT LAPTOP</t>
  </si>
  <si>
    <t>COUNT OF ORDERS FROM NORTH WHERE PRODUCT IS MOUSE</t>
  </si>
  <si>
    <t>AVERAGE TOTAL SALES FOR PRODUCT MONITOR</t>
  </si>
  <si>
    <t>AVERAGE TOTAL SALES FOR CHARLIE IN WEST</t>
  </si>
  <si>
    <t>TOTAL UNITS SOLD FOR KEYBOARD IN SOUTH</t>
  </si>
  <si>
    <t>TOTAL TOTAL SALES FOR ORDERED AFTER 2024-01-20</t>
  </si>
  <si>
    <t>COUNT OF ORDERS WHERE UNITS&gt;10</t>
  </si>
  <si>
    <t>COUNT OF LAPTOP SALES WHERE UNIT PRICE &gt;580</t>
  </si>
  <si>
    <t>AVERAGE UNITS SOLD FOR BOB</t>
  </si>
  <si>
    <t>AVERAGE UNIT SOLD FOR BOB IN EAST REGION</t>
  </si>
  <si>
    <t>TOTAL TOTAL SALES FOR MONITORS WHERE UNITS&gt;8</t>
  </si>
  <si>
    <t>TOTAL TOTAL SALES FOR LAPTOP IN EAST WHERE UNITS&gt;5</t>
  </si>
  <si>
    <t>COUNT OF ORDERS WHERE UNIT PRICE&lt;50</t>
  </si>
  <si>
    <t>COUNT OF MOUSE ORDERS IN SOUTH WHERE UNITS&gt;=12</t>
  </si>
  <si>
    <t>AVERAGE TOTAL SALES FOR LAPTOP IN ALL REGIONS</t>
  </si>
  <si>
    <t>AVERAGE TOTAL SALES FOR LAPTOP IN EAST</t>
  </si>
  <si>
    <t>TOTAL UNITS SOLD BY DIANA IN NORTH WHERE PRODUCT IS KEYBOARD</t>
  </si>
  <si>
    <t>COUNT OF ALL ORDERS PLACED IN JANUARY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</si>
</sst>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right"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C999-1D36-40DD-B1F4-1393934A80AE}">
  <dimension ref="A1:H71"/>
  <sheetViews>
    <sheetView tabSelected="1" topLeftCell="A63" workbookViewId="0">
      <selection activeCell="G69" activeCellId="1" sqref="E72 G69"/>
    </sheetView>
  </sheetViews>
  <sheetFormatPr defaultRowHeight="14.4" x14ac:dyDescent="0.3"/>
  <cols>
    <col min="1" max="1" width="11.5546875" bestFit="1" customWidth="1"/>
    <col min="2" max="2" width="19.21875" customWidth="1"/>
    <col min="3" max="3" width="11.77734375" bestFit="1" customWidth="1"/>
    <col min="5" max="5" width="18.77734375" customWidth="1"/>
    <col min="6" max="6" width="19" customWidth="1"/>
    <col min="7" max="7" width="24.33203125" customWidth="1"/>
    <col min="8" max="8" width="16.33203125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35">
      <c r="A2" s="2">
        <v>101</v>
      </c>
      <c r="B2" s="3" t="s">
        <v>8</v>
      </c>
      <c r="C2" s="3" t="s">
        <v>9</v>
      </c>
      <c r="D2" s="3" t="s">
        <v>10</v>
      </c>
      <c r="E2" s="2">
        <v>5</v>
      </c>
      <c r="F2" s="2">
        <v>550</v>
      </c>
      <c r="G2" s="2">
        <v>2750</v>
      </c>
      <c r="H2" s="4">
        <v>45413</v>
      </c>
    </row>
    <row r="3" spans="1:8" ht="15" thickBot="1" x14ac:dyDescent="0.35">
      <c r="A3" s="2">
        <v>102</v>
      </c>
      <c r="B3" s="3" t="s">
        <v>11</v>
      </c>
      <c r="C3" s="3" t="s">
        <v>12</v>
      </c>
      <c r="D3" s="3" t="s">
        <v>13</v>
      </c>
      <c r="E3" s="2">
        <v>8</v>
      </c>
      <c r="F3" s="2">
        <v>150</v>
      </c>
      <c r="G3" s="2">
        <v>1200</v>
      </c>
      <c r="H3" s="4">
        <v>45444</v>
      </c>
    </row>
    <row r="4" spans="1:8" ht="15" thickBot="1" x14ac:dyDescent="0.35">
      <c r="A4" s="2">
        <v>103</v>
      </c>
      <c r="B4" s="3" t="s">
        <v>8</v>
      </c>
      <c r="C4" s="3" t="s">
        <v>14</v>
      </c>
      <c r="D4" s="3" t="s">
        <v>15</v>
      </c>
      <c r="E4" s="2">
        <v>15</v>
      </c>
      <c r="F4" s="2">
        <v>25</v>
      </c>
      <c r="G4" s="2">
        <v>375</v>
      </c>
      <c r="H4" s="4">
        <v>45474</v>
      </c>
    </row>
    <row r="5" spans="1:8" ht="15" thickBot="1" x14ac:dyDescent="0.35">
      <c r="A5" s="2">
        <v>104</v>
      </c>
      <c r="B5" s="3" t="s">
        <v>16</v>
      </c>
      <c r="C5" s="3" t="s">
        <v>17</v>
      </c>
      <c r="D5" s="3" t="s">
        <v>10</v>
      </c>
      <c r="E5" s="2">
        <v>3</v>
      </c>
      <c r="F5" s="2">
        <v>600</v>
      </c>
      <c r="G5" s="2">
        <v>1800</v>
      </c>
      <c r="H5" s="4">
        <v>45536</v>
      </c>
    </row>
    <row r="6" spans="1:8" ht="15" thickBot="1" x14ac:dyDescent="0.35">
      <c r="A6" s="2">
        <v>105</v>
      </c>
      <c r="B6" s="3" t="s">
        <v>18</v>
      </c>
      <c r="C6" s="3" t="s">
        <v>9</v>
      </c>
      <c r="D6" s="3" t="s">
        <v>19</v>
      </c>
      <c r="E6" s="2">
        <v>10</v>
      </c>
      <c r="F6" s="2">
        <v>40</v>
      </c>
      <c r="G6" s="2">
        <v>400</v>
      </c>
      <c r="H6" s="4">
        <v>45566</v>
      </c>
    </row>
    <row r="7" spans="1:8" ht="15" thickBot="1" x14ac:dyDescent="0.35">
      <c r="A7" s="2">
        <v>106</v>
      </c>
      <c r="B7" s="3" t="s">
        <v>8</v>
      </c>
      <c r="C7" s="3" t="s">
        <v>12</v>
      </c>
      <c r="D7" s="3" t="s">
        <v>10</v>
      </c>
      <c r="E7" s="2">
        <v>4</v>
      </c>
      <c r="F7" s="2">
        <v>580</v>
      </c>
      <c r="G7" s="2">
        <v>2320</v>
      </c>
      <c r="H7" s="4">
        <v>45627</v>
      </c>
    </row>
    <row r="8" spans="1:8" ht="15" thickBot="1" x14ac:dyDescent="0.35">
      <c r="A8" s="2">
        <v>107</v>
      </c>
      <c r="B8" s="3" t="s">
        <v>11</v>
      </c>
      <c r="C8" s="3" t="s">
        <v>14</v>
      </c>
      <c r="D8" s="3" t="s">
        <v>13</v>
      </c>
      <c r="E8" s="2">
        <v>6</v>
      </c>
      <c r="F8" s="2">
        <v>145</v>
      </c>
      <c r="G8" s="2">
        <v>870</v>
      </c>
      <c r="H8" s="2" t="s">
        <v>20</v>
      </c>
    </row>
    <row r="9" spans="1:8" ht="15" thickBot="1" x14ac:dyDescent="0.35">
      <c r="A9" s="2">
        <v>108</v>
      </c>
      <c r="B9" s="3" t="s">
        <v>16</v>
      </c>
      <c r="C9" s="3" t="s">
        <v>17</v>
      </c>
      <c r="D9" s="3" t="s">
        <v>15</v>
      </c>
      <c r="E9" s="2">
        <v>12</v>
      </c>
      <c r="F9" s="2">
        <v>30</v>
      </c>
      <c r="G9" s="2">
        <v>360</v>
      </c>
      <c r="H9" s="2" t="s">
        <v>21</v>
      </c>
    </row>
    <row r="10" spans="1:8" ht="15" thickBot="1" x14ac:dyDescent="0.35">
      <c r="A10" s="2">
        <v>109</v>
      </c>
      <c r="B10" s="3" t="s">
        <v>18</v>
      </c>
      <c r="C10" s="3" t="s">
        <v>9</v>
      </c>
      <c r="D10" s="3" t="s">
        <v>13</v>
      </c>
      <c r="E10" s="2">
        <v>9</v>
      </c>
      <c r="F10" s="2">
        <v>155</v>
      </c>
      <c r="G10" s="2">
        <v>1395</v>
      </c>
      <c r="H10" s="2" t="s">
        <v>22</v>
      </c>
    </row>
    <row r="11" spans="1:8" ht="15" thickBot="1" x14ac:dyDescent="0.35">
      <c r="A11" s="2">
        <v>110</v>
      </c>
      <c r="B11" s="3" t="s">
        <v>8</v>
      </c>
      <c r="C11" s="3" t="s">
        <v>12</v>
      </c>
      <c r="D11" s="3" t="s">
        <v>19</v>
      </c>
      <c r="E11" s="2">
        <v>7</v>
      </c>
      <c r="F11" s="2">
        <v>42</v>
      </c>
      <c r="G11" s="2">
        <v>294</v>
      </c>
      <c r="H11" s="2" t="s">
        <v>23</v>
      </c>
    </row>
    <row r="12" spans="1:8" ht="15" thickBot="1" x14ac:dyDescent="0.35">
      <c r="A12" s="2">
        <v>111</v>
      </c>
      <c r="B12" s="3" t="s">
        <v>11</v>
      </c>
      <c r="C12" s="3" t="s">
        <v>14</v>
      </c>
      <c r="D12" s="3" t="s">
        <v>10</v>
      </c>
      <c r="E12" s="2">
        <v>2</v>
      </c>
      <c r="F12" s="2">
        <v>600</v>
      </c>
      <c r="G12" s="2">
        <v>1200</v>
      </c>
      <c r="H12" s="2" t="s">
        <v>24</v>
      </c>
    </row>
    <row r="13" spans="1:8" ht="15" thickBot="1" x14ac:dyDescent="0.35">
      <c r="A13" s="2">
        <v>112</v>
      </c>
      <c r="B13" s="3" t="s">
        <v>16</v>
      </c>
      <c r="C13" s="3" t="s">
        <v>17</v>
      </c>
      <c r="D13" s="3" t="s">
        <v>19</v>
      </c>
      <c r="E13" s="2">
        <v>11</v>
      </c>
      <c r="F13" s="2">
        <v>39</v>
      </c>
      <c r="G13" s="2">
        <v>429</v>
      </c>
      <c r="H13" s="2" t="s">
        <v>25</v>
      </c>
    </row>
    <row r="14" spans="1:8" ht="15" thickBot="1" x14ac:dyDescent="0.35">
      <c r="A14" s="2">
        <v>113</v>
      </c>
      <c r="B14" s="3" t="s">
        <v>18</v>
      </c>
      <c r="C14" s="3" t="s">
        <v>9</v>
      </c>
      <c r="D14" s="3" t="s">
        <v>10</v>
      </c>
      <c r="E14" s="2">
        <v>3</v>
      </c>
      <c r="F14" s="2">
        <v>560</v>
      </c>
      <c r="G14" s="2">
        <v>1680</v>
      </c>
      <c r="H14" s="2" t="s">
        <v>26</v>
      </c>
    </row>
    <row r="15" spans="1:8" ht="15" thickBot="1" x14ac:dyDescent="0.35">
      <c r="A15" s="2">
        <v>114</v>
      </c>
      <c r="B15" s="3" t="s">
        <v>8</v>
      </c>
      <c r="C15" s="3" t="s">
        <v>12</v>
      </c>
      <c r="D15" s="3" t="s">
        <v>15</v>
      </c>
      <c r="E15" s="2">
        <v>18</v>
      </c>
      <c r="F15" s="2">
        <v>28</v>
      </c>
      <c r="G15" s="2">
        <v>504</v>
      </c>
      <c r="H15" s="2" t="s">
        <v>27</v>
      </c>
    </row>
    <row r="16" spans="1:8" ht="15" thickBot="1" x14ac:dyDescent="0.35">
      <c r="A16" s="2">
        <v>115</v>
      </c>
      <c r="B16" s="3" t="s">
        <v>11</v>
      </c>
      <c r="C16" s="3" t="s">
        <v>14</v>
      </c>
      <c r="D16" s="3" t="s">
        <v>19</v>
      </c>
      <c r="E16" s="2">
        <v>5</v>
      </c>
      <c r="F16" s="2">
        <v>40</v>
      </c>
      <c r="G16" s="2">
        <v>200</v>
      </c>
      <c r="H16" s="2" t="s">
        <v>28</v>
      </c>
    </row>
    <row r="17" spans="1:8" ht="15" thickBot="1" x14ac:dyDescent="0.35">
      <c r="A17" s="2">
        <v>116</v>
      </c>
      <c r="B17" s="3" t="s">
        <v>16</v>
      </c>
      <c r="C17" s="3" t="s">
        <v>17</v>
      </c>
      <c r="D17" s="3" t="s">
        <v>13</v>
      </c>
      <c r="E17" s="2">
        <v>7</v>
      </c>
      <c r="F17" s="2">
        <v>150</v>
      </c>
      <c r="G17" s="2">
        <v>1050</v>
      </c>
      <c r="H17" s="2" t="s">
        <v>29</v>
      </c>
    </row>
    <row r="18" spans="1:8" ht="15" thickBot="1" x14ac:dyDescent="0.35">
      <c r="A18" s="2">
        <v>117</v>
      </c>
      <c r="B18" s="3" t="s">
        <v>18</v>
      </c>
      <c r="C18" s="3" t="s">
        <v>9</v>
      </c>
      <c r="D18" s="3" t="s">
        <v>15</v>
      </c>
      <c r="E18" s="2">
        <v>14</v>
      </c>
      <c r="F18" s="2">
        <v>26</v>
      </c>
      <c r="G18" s="2">
        <v>364</v>
      </c>
      <c r="H18" s="2" t="s">
        <v>30</v>
      </c>
    </row>
    <row r="19" spans="1:8" ht="15" thickBot="1" x14ac:dyDescent="0.35">
      <c r="A19" s="2">
        <v>118</v>
      </c>
      <c r="B19" s="3" t="s">
        <v>8</v>
      </c>
      <c r="C19" s="3" t="s">
        <v>12</v>
      </c>
      <c r="D19" s="3" t="s">
        <v>10</v>
      </c>
      <c r="E19" s="2">
        <v>6</v>
      </c>
      <c r="F19" s="2">
        <v>590</v>
      </c>
      <c r="G19" s="2">
        <v>3540</v>
      </c>
      <c r="H19" s="2" t="s">
        <v>31</v>
      </c>
    </row>
    <row r="20" spans="1:8" ht="15" thickBot="1" x14ac:dyDescent="0.35">
      <c r="A20" s="2">
        <v>119</v>
      </c>
      <c r="B20" s="3" t="s">
        <v>11</v>
      </c>
      <c r="C20" s="3" t="s">
        <v>14</v>
      </c>
      <c r="D20" s="3" t="s">
        <v>15</v>
      </c>
      <c r="E20" s="2">
        <v>16</v>
      </c>
      <c r="F20" s="2">
        <v>27</v>
      </c>
      <c r="G20" s="2">
        <v>432</v>
      </c>
      <c r="H20" s="2" t="s">
        <v>32</v>
      </c>
    </row>
    <row r="21" spans="1:8" ht="15" thickBot="1" x14ac:dyDescent="0.35">
      <c r="A21" s="2">
        <v>120</v>
      </c>
      <c r="B21" s="3" t="s">
        <v>16</v>
      </c>
      <c r="C21" s="3" t="s">
        <v>17</v>
      </c>
      <c r="D21" s="3" t="s">
        <v>10</v>
      </c>
      <c r="E21" s="2">
        <v>4</v>
      </c>
      <c r="F21" s="2">
        <v>605</v>
      </c>
      <c r="G21" s="2">
        <v>2420</v>
      </c>
      <c r="H21" s="2" t="s">
        <v>33</v>
      </c>
    </row>
    <row r="22" spans="1:8" ht="15" thickBot="1" x14ac:dyDescent="0.35">
      <c r="A22" s="2">
        <v>121</v>
      </c>
      <c r="B22" s="3" t="s">
        <v>18</v>
      </c>
      <c r="C22" s="3" t="s">
        <v>9</v>
      </c>
      <c r="D22" s="3" t="s">
        <v>13</v>
      </c>
      <c r="E22" s="2">
        <v>10</v>
      </c>
      <c r="F22" s="2">
        <v>152</v>
      </c>
      <c r="G22" s="2">
        <v>1520</v>
      </c>
      <c r="H22" s="2" t="s">
        <v>34</v>
      </c>
    </row>
    <row r="23" spans="1:8" ht="15" thickBot="1" x14ac:dyDescent="0.35">
      <c r="A23" s="2">
        <v>122</v>
      </c>
      <c r="B23" s="3" t="s">
        <v>8</v>
      </c>
      <c r="C23" s="3" t="s">
        <v>12</v>
      </c>
      <c r="D23" s="3" t="s">
        <v>19</v>
      </c>
      <c r="E23" s="2">
        <v>8</v>
      </c>
      <c r="F23" s="2">
        <v>41</v>
      </c>
      <c r="G23" s="2">
        <v>328</v>
      </c>
      <c r="H23" s="2" t="s">
        <v>35</v>
      </c>
    </row>
    <row r="24" spans="1:8" ht="15" thickBot="1" x14ac:dyDescent="0.35">
      <c r="A24" s="2">
        <v>123</v>
      </c>
      <c r="B24" s="3" t="s">
        <v>11</v>
      </c>
      <c r="C24" s="3" t="s">
        <v>14</v>
      </c>
      <c r="D24" s="3" t="s">
        <v>10</v>
      </c>
      <c r="E24" s="2">
        <v>3</v>
      </c>
      <c r="F24" s="2">
        <v>610</v>
      </c>
      <c r="G24" s="2">
        <v>1830</v>
      </c>
      <c r="H24" s="2" t="s">
        <v>36</v>
      </c>
    </row>
    <row r="25" spans="1:8" ht="15" thickBot="1" x14ac:dyDescent="0.35">
      <c r="A25" s="2">
        <v>124</v>
      </c>
      <c r="B25" s="3" t="s">
        <v>16</v>
      </c>
      <c r="C25" s="3" t="s">
        <v>17</v>
      </c>
      <c r="D25" s="3" t="s">
        <v>15</v>
      </c>
      <c r="E25" s="2">
        <v>10</v>
      </c>
      <c r="F25" s="2">
        <v>29</v>
      </c>
      <c r="G25" s="2">
        <v>290</v>
      </c>
      <c r="H25" s="2" t="s">
        <v>37</v>
      </c>
    </row>
    <row r="26" spans="1:8" ht="15" thickBot="1" x14ac:dyDescent="0.35">
      <c r="A26" s="2">
        <v>125</v>
      </c>
      <c r="B26" s="3" t="s">
        <v>18</v>
      </c>
      <c r="C26" s="3" t="s">
        <v>9</v>
      </c>
      <c r="D26" s="3" t="s">
        <v>19</v>
      </c>
      <c r="E26" s="2">
        <v>9</v>
      </c>
      <c r="F26" s="2">
        <v>43</v>
      </c>
      <c r="G26" s="2">
        <v>387</v>
      </c>
      <c r="H26" s="4">
        <v>45293</v>
      </c>
    </row>
    <row r="27" spans="1:8" ht="15" thickBot="1" x14ac:dyDescent="0.35">
      <c r="A27" s="2">
        <v>126</v>
      </c>
      <c r="B27" s="3" t="s">
        <v>8</v>
      </c>
      <c r="C27" s="3" t="s">
        <v>12</v>
      </c>
      <c r="D27" s="3" t="s">
        <v>13</v>
      </c>
      <c r="E27" s="2">
        <v>11</v>
      </c>
      <c r="F27" s="2">
        <v>148</v>
      </c>
      <c r="G27" s="2">
        <v>1628</v>
      </c>
      <c r="H27" s="4">
        <v>45324</v>
      </c>
    </row>
    <row r="28" spans="1:8" ht="15" thickBot="1" x14ac:dyDescent="0.35">
      <c r="A28" s="2">
        <v>127</v>
      </c>
      <c r="B28" s="3" t="s">
        <v>11</v>
      </c>
      <c r="C28" s="3" t="s">
        <v>14</v>
      </c>
      <c r="D28" s="3" t="s">
        <v>19</v>
      </c>
      <c r="E28" s="2">
        <v>6</v>
      </c>
      <c r="F28" s="2">
        <v>42</v>
      </c>
      <c r="G28" s="2">
        <v>252</v>
      </c>
      <c r="H28" s="4">
        <v>45353</v>
      </c>
    </row>
    <row r="29" spans="1:8" ht="15" thickBot="1" x14ac:dyDescent="0.35">
      <c r="A29" s="2">
        <v>128</v>
      </c>
      <c r="B29" s="3" t="s">
        <v>16</v>
      </c>
      <c r="C29" s="3" t="s">
        <v>17</v>
      </c>
      <c r="D29" s="3" t="s">
        <v>10</v>
      </c>
      <c r="E29" s="2">
        <v>5</v>
      </c>
      <c r="F29" s="2">
        <v>595</v>
      </c>
      <c r="G29" s="2">
        <v>2975</v>
      </c>
      <c r="H29" s="4">
        <v>45384</v>
      </c>
    </row>
    <row r="30" spans="1:8" ht="15" thickBot="1" x14ac:dyDescent="0.35">
      <c r="A30" s="2">
        <v>129</v>
      </c>
      <c r="B30" s="3" t="s">
        <v>18</v>
      </c>
      <c r="C30" s="3" t="s">
        <v>9</v>
      </c>
      <c r="D30" s="3" t="s">
        <v>15</v>
      </c>
      <c r="E30" s="2">
        <v>13</v>
      </c>
      <c r="F30" s="2">
        <v>27</v>
      </c>
      <c r="G30" s="2">
        <v>351</v>
      </c>
      <c r="H30" s="4">
        <v>45414</v>
      </c>
    </row>
    <row r="31" spans="1:8" ht="15" thickBot="1" x14ac:dyDescent="0.35">
      <c r="A31" s="2">
        <v>130</v>
      </c>
      <c r="B31" s="3" t="s">
        <v>8</v>
      </c>
      <c r="C31" s="3" t="s">
        <v>12</v>
      </c>
      <c r="D31" s="3" t="s">
        <v>10</v>
      </c>
      <c r="E31" s="2">
        <v>7</v>
      </c>
      <c r="F31" s="2">
        <v>600</v>
      </c>
      <c r="G31" s="2">
        <v>4200</v>
      </c>
      <c r="H31" s="4">
        <v>45445</v>
      </c>
    </row>
    <row r="33" spans="2:5" ht="28.8" x14ac:dyDescent="0.3">
      <c r="B33" s="7" t="s">
        <v>38</v>
      </c>
      <c r="E33" s="6" t="s">
        <v>48</v>
      </c>
    </row>
    <row r="35" spans="2:5" x14ac:dyDescent="0.3">
      <c r="B35">
        <f>COUNTIF(B2:B31,"EAST")</f>
        <v>9</v>
      </c>
      <c r="E35">
        <f>AVERAGEIFS(E2:E31,C2:C31,"BOB")</f>
        <v>8.625</v>
      </c>
    </row>
    <row r="37" spans="2:5" ht="43.2" x14ac:dyDescent="0.3">
      <c r="B37" s="6" t="s">
        <v>39</v>
      </c>
      <c r="E37" s="6" t="s">
        <v>49</v>
      </c>
    </row>
    <row r="39" spans="2:5" x14ac:dyDescent="0.3">
      <c r="B39">
        <f>COUNTIF(C2:C31,"ALICE")</f>
        <v>8</v>
      </c>
      <c r="E39">
        <f>AVERAGEIFS(E2:E31,C2:C31,"BOB",B2:B31,"EAST")</f>
        <v>8.7142857142857135</v>
      </c>
    </row>
    <row r="41" spans="2:5" ht="43.2" x14ac:dyDescent="0.3">
      <c r="B41" s="6" t="s">
        <v>40</v>
      </c>
      <c r="E41" s="5" t="s">
        <v>50</v>
      </c>
    </row>
    <row r="43" spans="2:5" x14ac:dyDescent="0.3">
      <c r="B43">
        <f>COUNTIF(D2:D31,"LAPTOP")</f>
        <v>10</v>
      </c>
      <c r="E43">
        <f>SUMIFS(G2:G31,D2:D31,"MONITOR",E2:E31,"&gt;8")</f>
        <v>4543</v>
      </c>
    </row>
    <row r="45" spans="2:5" ht="43.2" x14ac:dyDescent="0.3">
      <c r="B45" s="6" t="s">
        <v>41</v>
      </c>
      <c r="E45" s="6" t="s">
        <v>51</v>
      </c>
    </row>
    <row r="47" spans="2:5" x14ac:dyDescent="0.3">
      <c r="B47">
        <f>COUNTIFS(D2:D31,"MOUSE",B2:B31,"NORTH")</f>
        <v>2</v>
      </c>
      <c r="E47">
        <f>SUMIFS(G2:G31,D2:D31,"LAPTOP",B2:B31,"EAST",E2:E31,"&gt;5")</f>
        <v>7740</v>
      </c>
    </row>
    <row r="49" spans="2:5" ht="43.2" x14ac:dyDescent="0.3">
      <c r="B49" s="5" t="s">
        <v>42</v>
      </c>
      <c r="E49" s="6" t="s">
        <v>52</v>
      </c>
    </row>
    <row r="51" spans="2:5" x14ac:dyDescent="0.3">
      <c r="B51">
        <f>AVERAGEIFS(G2:G31,D2:D31,"MONITOR")</f>
        <v>1277.1666666666667</v>
      </c>
      <c r="E51">
        <f>COUNTIF(F2:F31,"&lt;50")</f>
        <v>14</v>
      </c>
    </row>
    <row r="53" spans="2:5" ht="43.2" x14ac:dyDescent="0.3">
      <c r="B53" s="5" t="s">
        <v>43</v>
      </c>
      <c r="E53" s="5" t="s">
        <v>53</v>
      </c>
    </row>
    <row r="55" spans="2:5" x14ac:dyDescent="0.3">
      <c r="B55">
        <f>AVERAGEIFS(G2:G31,C2:C31,"CHARLIE",B2:B31,"WEST")</f>
        <v>797.33333333333337</v>
      </c>
      <c r="E55">
        <f>COUNTIFS(D2:D31,"MOUSE",B2:B31,"SOUTH",E2:E31,"&gt;=12")</f>
        <v>2</v>
      </c>
    </row>
    <row r="57" spans="2:5" ht="43.2" x14ac:dyDescent="0.3">
      <c r="B57" s="5" t="s">
        <v>44</v>
      </c>
      <c r="E57" s="5" t="s">
        <v>54</v>
      </c>
    </row>
    <row r="59" spans="2:5" x14ac:dyDescent="0.3">
      <c r="B59">
        <f>SUMIFS(E2:E31,D2:D31,"KEYBOARD",B2:B31,"SOUTH")</f>
        <v>19</v>
      </c>
      <c r="E59">
        <f>AVERAGEIFS(G2:G31,D2:D31,"LAPTOP")</f>
        <v>2471.5</v>
      </c>
    </row>
    <row r="61" spans="2:5" ht="43.2" x14ac:dyDescent="0.3">
      <c r="B61" s="5" t="s">
        <v>45</v>
      </c>
      <c r="E61" s="5" t="s">
        <v>55</v>
      </c>
    </row>
    <row r="62" spans="2:5" ht="13.8" customHeight="1" x14ac:dyDescent="0.3"/>
    <row r="63" spans="2:5" x14ac:dyDescent="0.3">
      <c r="B63">
        <f>SUMIFS(G2:G31,H2:H31,"&gt;2024-01-20")</f>
        <v>18251</v>
      </c>
      <c r="E63">
        <f>AVERAGEIFS(G2:G31,D2:D31,"LAPTOP",B2:B31,"EAST")</f>
        <v>3202.5</v>
      </c>
    </row>
    <row r="65" spans="2:5" ht="57.6" x14ac:dyDescent="0.3">
      <c r="B65" s="5" t="s">
        <v>46</v>
      </c>
      <c r="E65" s="5" t="s">
        <v>56</v>
      </c>
    </row>
    <row r="67" spans="2:5" x14ac:dyDescent="0.3">
      <c r="B67">
        <f>COUNTIF(E2:E31,"&gt;10")</f>
        <v>8</v>
      </c>
      <c r="E67">
        <f>SUMIFS(E2:E31,C2:C31,"DIANA",B2:B31,"NORTH",D2:D31,"KEYBOARD")</f>
        <v>11</v>
      </c>
    </row>
    <row r="69" spans="2:5" ht="43.2" x14ac:dyDescent="0.3">
      <c r="B69" s="5" t="s">
        <v>47</v>
      </c>
      <c r="E69" s="5" t="s">
        <v>57</v>
      </c>
    </row>
    <row r="71" spans="2:5" x14ac:dyDescent="0.3">
      <c r="B71">
        <f>COUNTIFS(D2:D31,"LAPTOP",F2:F31,"&gt;580")</f>
        <v>7</v>
      </c>
      <c r="E71">
        <f>COUNTIFS(H2:H31, "&gt;=01-01-2024", H2:H31, "&lt;=31-01-2024")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 VENKATA GOPI</dc:creator>
  <cp:lastModifiedBy>MANASA DURGA VASIREDDY</cp:lastModifiedBy>
  <dcterms:created xsi:type="dcterms:W3CDTF">2025-08-12T05:07:29Z</dcterms:created>
  <dcterms:modified xsi:type="dcterms:W3CDTF">2026-02-27T09:01:24Z</dcterms:modified>
</cp:coreProperties>
</file>